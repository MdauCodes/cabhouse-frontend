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>
    <definedName name="_xlnm.Print_Area" localSheetId="0">'Quotation'!$A$1:$H$47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06340"/>
      <sz val="16"/>
    </font>
    <font>
      <name val="Arial"/>
      <i val="1"/>
      <color rgb="00B5892C"/>
      <sz val="11"/>
    </font>
    <font>
      <name val="Arial"/>
      <color rgb="007A6E60"/>
      <sz val="8"/>
    </font>
    <font>
      <name val="Arial"/>
      <color rgb="007A6E60"/>
      <sz val="9"/>
    </font>
    <font>
      <name val="Arial"/>
      <b val="1"/>
      <color rgb="001A1714"/>
      <sz val="9"/>
    </font>
    <font>
      <name val="Arial"/>
      <b val="1"/>
      <color rgb="00FFFFFF"/>
      <sz val="16"/>
    </font>
    <font>
      <name val="Arial"/>
      <b val="1"/>
      <color rgb="001A1714"/>
      <sz val="10"/>
    </font>
    <font>
      <name val="Arial"/>
      <color rgb="001A1714"/>
      <sz val="10"/>
    </font>
    <font>
      <name val="Arial"/>
      <b val="1"/>
      <color rgb="00206340"/>
      <sz val="10"/>
    </font>
    <font>
      <name val="Arial"/>
      <b val="1"/>
      <color rgb="00FFFFFF"/>
      <sz val="9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06340"/>
      </patternFill>
    </fill>
  </fills>
  <borders count="7">
    <border>
      <left/>
      <right/>
      <top/>
      <bottom/>
      <diagonal/>
    </border>
    <border>
      <top style="thin">
        <color rgb="00B5892C"/>
      </top>
    </border>
    <border>
      <left style="medium">
        <color rgb="00B5892C"/>
      </left>
    </border>
    <border>
      <left/>
      <right/>
      <top/>
      <bottom style="medium">
        <color rgb="00206340"/>
      </bottom>
    </border>
    <border>
      <left style="medium">
        <color rgb="00B5892C"/>
      </left>
      <bottom style="medium">
        <color rgb="00206340"/>
      </bottom>
    </border>
    <border>
      <left style="thin">
        <color rgb="00D8D2C8"/>
      </left>
      <right style="thin">
        <color rgb="00D8D2C8"/>
      </right>
      <top style="thin">
        <color rgb="00D8D2C8"/>
      </top>
      <bottom style="thin">
        <color rgb="00D8D2C8"/>
      </bottom>
    </border>
    <border>
      <top style="thin">
        <color rgb="00206340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4" fillId="0" borderId="4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/>
    </xf>
    <xf numFmtId="0" fontId="0" fillId="2" borderId="5" pivotButton="0" quotePrefix="0" xfId="0"/>
    <xf numFmtId="0" fontId="10" fillId="2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/>
    </xf>
    <xf numFmtId="0" fontId="0" fillId="0" borderId="5" pivotButton="0" quotePrefix="0" xfId="0"/>
    <xf numFmtId="4" fontId="8" fillId="0" borderId="5" pivotButton="0" quotePrefix="0" xfId="0"/>
    <xf numFmtId="0" fontId="7" fillId="0" borderId="5" applyAlignment="1" pivotButton="0" quotePrefix="0" xfId="0">
      <alignment horizontal="right" vertical="center"/>
    </xf>
    <xf numFmtId="0" fontId="11" fillId="2" borderId="5" applyAlignment="1" pivotButton="0" quotePrefix="0" xfId="0">
      <alignment horizontal="right" vertical="center"/>
    </xf>
    <xf numFmtId="4" fontId="11" fillId="2" borderId="5" applyAlignment="1" pivotButton="0" quotePrefix="0" xfId="0">
      <alignment horizontal="right" vertical="center"/>
    </xf>
    <xf numFmtId="0" fontId="4" fillId="0" borderId="0" pivotButton="0" quotePrefix="0" xfId="0"/>
    <xf numFmtId="0" fontId="0" fillId="0" borderId="6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8" customWidth="1" min="5" max="5"/>
    <col width="15" customWidth="1" min="6" max="6"/>
    <col width="12" customWidth="1" min="7" max="7"/>
    <col width="14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0" customHeight="1">
      <c r="B2" s="2" t="inlineStr">
        <is>
          <t>CABHOUSE AGENCIES LTD</t>
        </is>
      </c>
      <c r="F2" s="3" t="inlineStr">
        <is>
          <t>Off Suneka Asumbi Highway</t>
        </is>
      </c>
    </row>
    <row r="3" ht="16" customHeight="1">
      <c r="B3" s="4" t="inlineStr">
        <is>
          <t>We Take You Places</t>
        </is>
      </c>
      <c r="F3" s="3" t="inlineStr">
        <is>
          <t>3km From Riana, Kisii</t>
        </is>
      </c>
    </row>
    <row r="4" ht="14" customHeight="1">
      <c r="B4" s="5" t="inlineStr">
        <is>
          <t>CAMPING RESORT  •  WATER PARK  •  APARTMENTS</t>
        </is>
      </c>
      <c r="F4" s="3" t="inlineStr">
        <is>
          <t>P.O. Box 2814-40200</t>
        </is>
      </c>
    </row>
    <row r="5" ht="14" customHeight="1">
      <c r="F5" s="6" t="inlineStr">
        <is>
          <t>+254 748 233 156</t>
        </is>
      </c>
    </row>
    <row r="6" ht="18" customHeight="1">
      <c r="A6" s="7" t="n"/>
      <c r="B6" s="7" t="n"/>
      <c r="C6" s="7" t="n"/>
      <c r="D6" s="7" t="n"/>
      <c r="E6" s="7" t="n"/>
      <c r="F6" s="8" t="inlineStr">
        <is>
          <t>customercare@cabhouseagencies.com</t>
        </is>
      </c>
      <c r="G6" s="7" t="n"/>
      <c r="H6" s="7" t="n"/>
    </row>
    <row r="8" ht="26" customHeight="1">
      <c r="A8" s="9" t="inlineStr">
        <is>
          <t>QUOTATION</t>
        </is>
      </c>
      <c r="B8" s="10" t="n"/>
      <c r="C8" s="10" t="n"/>
      <c r="D8" s="10" t="n"/>
      <c r="E8" s="10" t="n"/>
      <c r="F8" s="10" t="n"/>
      <c r="G8" s="10" t="n"/>
      <c r="H8" s="10" t="n"/>
    </row>
    <row r="10">
      <c r="B10" s="11" t="inlineStr">
        <is>
          <t>Quote No:</t>
        </is>
      </c>
      <c r="C10" s="12" t="inlineStr">
        <is>
          <t>[QT-0001]</t>
        </is>
      </c>
      <c r="F10" s="11" t="inlineStr">
        <is>
          <t>Date:</t>
        </is>
      </c>
      <c r="G10" s="12" t="inlineStr">
        <is>
          <t>[Date]</t>
        </is>
      </c>
    </row>
    <row r="11">
      <c r="B11" s="11" t="inlineStr">
        <is>
          <t>Valid Until:</t>
        </is>
      </c>
      <c r="C11" s="12" t="inlineStr">
        <is>
          <t>[Date + 30 days]</t>
        </is>
      </c>
    </row>
    <row r="13">
      <c r="B13" s="13" t="inlineStr">
        <is>
          <t>BILL TO:</t>
        </is>
      </c>
    </row>
    <row r="14">
      <c r="B14" s="12" t="inlineStr">
        <is>
          <t>[Client / Company Name]</t>
        </is>
      </c>
    </row>
    <row r="15">
      <c r="B15" s="12" t="inlineStr">
        <is>
          <t>[Client Address]</t>
        </is>
      </c>
    </row>
    <row r="16">
      <c r="B16" s="12" t="inlineStr">
        <is>
          <t>[Client Phone / Email]</t>
        </is>
      </c>
    </row>
    <row r="18" ht="20" customHeight="1">
      <c r="A18" s="14" t="inlineStr">
        <is>
          <t>#</t>
        </is>
      </c>
      <c r="B18" s="15" t="inlineStr">
        <is>
          <t>DESCRIPTION</t>
        </is>
      </c>
      <c r="C18" s="16" t="n"/>
      <c r="D18" s="16" t="n"/>
      <c r="E18" s="14" t="inlineStr">
        <is>
          <t>QTY</t>
        </is>
      </c>
      <c r="F18" s="17" t="inlineStr">
        <is>
          <t>UNIT PRICE (KES)</t>
        </is>
      </c>
      <c r="G18" s="14" t="inlineStr">
        <is>
          <t>TOTAL (KES)</t>
        </is>
      </c>
      <c r="H18" s="16" t="n"/>
    </row>
    <row r="19" ht="18" customHeight="1">
      <c r="A19" s="18" t="n">
        <v>1</v>
      </c>
      <c r="B19" s="19" t="n"/>
      <c r="C19" s="19" t="n"/>
      <c r="D19" s="19" t="n"/>
      <c r="E19" s="18" t="n"/>
      <c r="F19" s="20" t="n"/>
      <c r="G19" s="20">
        <f>IF(OR(E19="",F19=""),"",E19*F19)</f>
        <v/>
      </c>
      <c r="H19" s="19" t="n"/>
    </row>
    <row r="20" ht="18" customHeight="1">
      <c r="A20" s="18" t="n">
        <v>2</v>
      </c>
      <c r="B20" s="19" t="n"/>
      <c r="C20" s="19" t="n"/>
      <c r="D20" s="19" t="n"/>
      <c r="E20" s="18" t="n"/>
      <c r="F20" s="20" t="n"/>
      <c r="G20" s="20">
        <f>IF(OR(E20="",F20=""),"",E20*F20)</f>
        <v/>
      </c>
      <c r="H20" s="19" t="n"/>
    </row>
    <row r="21" ht="18" customHeight="1">
      <c r="A21" s="18" t="n">
        <v>3</v>
      </c>
      <c r="B21" s="19" t="n"/>
      <c r="C21" s="19" t="n"/>
      <c r="D21" s="19" t="n"/>
      <c r="E21" s="18" t="n"/>
      <c r="F21" s="20" t="n"/>
      <c r="G21" s="20">
        <f>IF(OR(E21="",F21=""),"",E21*F21)</f>
        <v/>
      </c>
      <c r="H21" s="19" t="n"/>
    </row>
    <row r="22" ht="18" customHeight="1">
      <c r="A22" s="18" t="n">
        <v>4</v>
      </c>
      <c r="B22" s="19" t="n"/>
      <c r="C22" s="19" t="n"/>
      <c r="D22" s="19" t="n"/>
      <c r="E22" s="18" t="n"/>
      <c r="F22" s="20" t="n"/>
      <c r="G22" s="20">
        <f>IF(OR(E22="",F22=""),"",E22*F22)</f>
        <v/>
      </c>
      <c r="H22" s="19" t="n"/>
    </row>
    <row r="23" ht="18" customHeight="1">
      <c r="A23" s="18" t="n">
        <v>5</v>
      </c>
      <c r="B23" s="19" t="n"/>
      <c r="C23" s="19" t="n"/>
      <c r="D23" s="19" t="n"/>
      <c r="E23" s="18" t="n"/>
      <c r="F23" s="20" t="n"/>
      <c r="G23" s="20">
        <f>IF(OR(E23="",F23=""),"",E23*F23)</f>
        <v/>
      </c>
      <c r="H23" s="19" t="n"/>
    </row>
    <row r="24" ht="18" customHeight="1">
      <c r="A24" s="18" t="n">
        <v>6</v>
      </c>
      <c r="B24" s="19" t="n"/>
      <c r="C24" s="19" t="n"/>
      <c r="D24" s="19" t="n"/>
      <c r="E24" s="18" t="n"/>
      <c r="F24" s="20" t="n"/>
      <c r="G24" s="20">
        <f>IF(OR(E24="",F24=""),"",E24*F24)</f>
        <v/>
      </c>
      <c r="H24" s="19" t="n"/>
    </row>
    <row r="25" ht="18" customHeight="1">
      <c r="A25" s="18" t="n">
        <v>7</v>
      </c>
      <c r="B25" s="19" t="n"/>
      <c r="C25" s="19" t="n"/>
      <c r="D25" s="19" t="n"/>
      <c r="E25" s="18" t="n"/>
      <c r="F25" s="20" t="n"/>
      <c r="G25" s="20">
        <f>IF(OR(E25="",F25=""),"",E25*F25)</f>
        <v/>
      </c>
      <c r="H25" s="19" t="n"/>
    </row>
    <row r="26" ht="18" customHeight="1">
      <c r="A26" s="18" t="n">
        <v>8</v>
      </c>
      <c r="B26" s="19" t="n"/>
      <c r="C26" s="19" t="n"/>
      <c r="D26" s="19" t="n"/>
      <c r="E26" s="18" t="n"/>
      <c r="F26" s="20" t="n"/>
      <c r="G26" s="20">
        <f>IF(OR(E26="",F26=""),"",E26*F26)</f>
        <v/>
      </c>
      <c r="H26" s="19" t="n"/>
    </row>
    <row r="27" ht="18" customHeight="1">
      <c r="A27" s="18" t="n">
        <v>9</v>
      </c>
      <c r="B27" s="19" t="n"/>
      <c r="C27" s="19" t="n"/>
      <c r="D27" s="19" t="n"/>
      <c r="E27" s="18" t="n"/>
      <c r="F27" s="20" t="n"/>
      <c r="G27" s="20">
        <f>IF(OR(E27="",F27=""),"",E27*F27)</f>
        <v/>
      </c>
      <c r="H27" s="19" t="n"/>
    </row>
    <row r="28" ht="18" customHeight="1">
      <c r="A28" s="18" t="n">
        <v>10</v>
      </c>
      <c r="B28" s="19" t="n"/>
      <c r="C28" s="19" t="n"/>
      <c r="D28" s="19" t="n"/>
      <c r="E28" s="18" t="n"/>
      <c r="F28" s="20" t="n"/>
      <c r="G28" s="20">
        <f>IF(OR(E28="",F28=""),"",E28*F28)</f>
        <v/>
      </c>
      <c r="H28" s="19" t="n"/>
    </row>
    <row r="29" ht="18" customHeight="1">
      <c r="A29" s="18" t="n">
        <v>11</v>
      </c>
      <c r="B29" s="19" t="n"/>
      <c r="C29" s="19" t="n"/>
      <c r="D29" s="19" t="n"/>
      <c r="E29" s="18" t="n"/>
      <c r="F29" s="20" t="n"/>
      <c r="G29" s="20">
        <f>IF(OR(E29="",F29=""),"",E29*F29)</f>
        <v/>
      </c>
      <c r="H29" s="19" t="n"/>
    </row>
    <row r="30" ht="18" customHeight="1">
      <c r="A30" s="18" t="n">
        <v>12</v>
      </c>
      <c r="B30" s="19" t="n"/>
      <c r="C30" s="19" t="n"/>
      <c r="D30" s="19" t="n"/>
      <c r="E30" s="18" t="n"/>
      <c r="F30" s="20" t="n"/>
      <c r="G30" s="20">
        <f>IF(OR(E30="",F30=""),"",E30*F30)</f>
        <v/>
      </c>
      <c r="H30" s="19" t="n"/>
    </row>
    <row r="31">
      <c r="A31" s="21" t="inlineStr">
        <is>
          <t>Subtotal</t>
        </is>
      </c>
      <c r="B31" s="19" t="n"/>
      <c r="C31" s="19" t="n"/>
      <c r="D31" s="19" t="n"/>
      <c r="E31" s="19" t="n"/>
      <c r="F31" s="19" t="n"/>
      <c r="G31" s="20">
        <f>SUM(G19:G30)</f>
        <v/>
      </c>
      <c r="H31" s="19" t="n"/>
    </row>
    <row r="32">
      <c r="A32" s="21" t="inlineStr">
        <is>
          <t>VAT (16%)</t>
        </is>
      </c>
      <c r="B32" s="19" t="n"/>
      <c r="C32" s="19" t="n"/>
      <c r="D32" s="19" t="n"/>
      <c r="E32" s="19" t="n"/>
      <c r="F32" s="19" t="n"/>
      <c r="G32" s="20">
        <f>ROUND(G31*0.16,2)</f>
        <v/>
      </c>
      <c r="H32" s="19" t="n"/>
    </row>
    <row r="33" ht="22" customHeight="1">
      <c r="A33" s="22" t="inlineStr">
        <is>
          <t>TOTAL (KES)</t>
        </is>
      </c>
      <c r="B33" s="16" t="n"/>
      <c r="C33" s="16" t="n"/>
      <c r="D33" s="16" t="n"/>
      <c r="E33" s="16" t="n"/>
      <c r="F33" s="16" t="n"/>
      <c r="G33" s="23">
        <f>G31+G32</f>
        <v/>
      </c>
      <c r="H33" s="19" t="n"/>
    </row>
    <row r="35">
      <c r="B35" s="13" t="inlineStr">
        <is>
          <t>TERMS &amp; CONDITIONS</t>
        </is>
      </c>
    </row>
    <row r="36">
      <c r="B36" s="24" t="inlineStr">
        <is>
          <t>•  Prices are quoted in Kenyan Shillings (KES).</t>
        </is>
      </c>
    </row>
    <row r="37">
      <c r="B37" s="24" t="inlineStr">
        <is>
          <t>•  This quotation is valid for 30 days from the date above.</t>
        </is>
      </c>
    </row>
    <row r="38">
      <c r="B38" s="24" t="inlineStr">
        <is>
          <t>•  A 50% deposit is required to confirm booking.</t>
        </is>
      </c>
    </row>
    <row r="40">
      <c r="B40" s="11" t="inlineStr">
        <is>
          <t>Prepared by:</t>
        </is>
      </c>
    </row>
    <row r="41">
      <c r="B41" s="12" t="inlineStr">
        <is>
          <t>[Name]</t>
        </is>
      </c>
    </row>
    <row r="42">
      <c r="B42" s="12" t="inlineStr">
        <is>
          <t>[Title]</t>
        </is>
      </c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</row>
    <row r="46">
      <c r="A46" s="26" t="inlineStr">
        <is>
          <t>Off Suneka Asumbi Highway, 3km From Riana, Kisii  •  P.O. Box 2814-40200 Kisii, Kenya</t>
        </is>
      </c>
    </row>
    <row r="47">
      <c r="A47" s="26" t="inlineStr">
        <is>
          <t>+254 748 233 156  •  +254 748 114 971  •  customercare@cabhouseagencies.com</t>
        </is>
      </c>
    </row>
  </sheetData>
  <mergeCells count="47">
    <mergeCell ref="G21:H21"/>
    <mergeCell ref="F5:H5"/>
    <mergeCell ref="B23:D23"/>
    <mergeCell ref="G27:H27"/>
    <mergeCell ref="F2:H2"/>
    <mergeCell ref="G23:H23"/>
    <mergeCell ref="B29:D29"/>
    <mergeCell ref="B28:D28"/>
    <mergeCell ref="A33:F33"/>
    <mergeCell ref="B19:D19"/>
    <mergeCell ref="B4:E4"/>
    <mergeCell ref="E18"/>
    <mergeCell ref="G10:H10"/>
    <mergeCell ref="A32:F32"/>
    <mergeCell ref="G19:H19"/>
    <mergeCell ref="G28:H28"/>
    <mergeCell ref="B3:E3"/>
    <mergeCell ref="B30:D30"/>
    <mergeCell ref="A46:H46"/>
    <mergeCell ref="G18:H18"/>
    <mergeCell ref="B24:D24"/>
    <mergeCell ref="B20:D20"/>
    <mergeCell ref="G24:H24"/>
    <mergeCell ref="G30:H30"/>
    <mergeCell ref="G33:H33"/>
    <mergeCell ref="B26:D26"/>
    <mergeCell ref="A31:F31"/>
    <mergeCell ref="F4:H4"/>
    <mergeCell ref="B2:E2"/>
    <mergeCell ref="A47:H47"/>
    <mergeCell ref="B25:D25"/>
    <mergeCell ref="A8:H8"/>
    <mergeCell ref="G26:H26"/>
    <mergeCell ref="F18"/>
    <mergeCell ref="G29:H29"/>
    <mergeCell ref="G20:H20"/>
    <mergeCell ref="F6:H6"/>
    <mergeCell ref="A18"/>
    <mergeCell ref="B22:D22"/>
    <mergeCell ref="G32:H32"/>
    <mergeCell ref="G25:H25"/>
    <mergeCell ref="B18:D18"/>
    <mergeCell ref="B27:D27"/>
    <mergeCell ref="G31:H31"/>
    <mergeCell ref="B21:D21"/>
    <mergeCell ref="G22:H22"/>
    <mergeCell ref="F3:H3"/>
  </mergeCells>
  <pageMargins left="0.6" right="0.6" top="0.5" bottom="0.5" header="0.2" footer="0.2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2026-07-11T15:27:06Z</dcterms:created>
  <dcterms:modified xmlns:dcterms="http://purl.org/dc/terms/" xmlns:xsi="http://www.w3.org/2001/XMLSchema-instance" xsi:type="dcterms:W3CDTF">2026-07-11T15:27:06Z</dcterms:modified>
</cp:coreProperties>
</file>